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codeName="ThisWorkbook"/>
  <mc:AlternateContent xmlns:mc="http://schemas.openxmlformats.org/markup-compatibility/2006">
    <mc:Choice Requires="x15">
      <x15ac:absPath xmlns:x15ac="http://schemas.microsoft.com/office/spreadsheetml/2010/11/ac" url="G:\Otros ordenadores\Mi PC\operadora-dev\docs\"/>
    </mc:Choice>
  </mc:AlternateContent>
  <bookViews>
    <workbookView xWindow="0" yWindow="0" windowWidth="7470" windowHeight="5625"/>
  </bookViews>
  <sheets>
    <sheet name="Resumen Macro Actividades" sheetId="1" r:id="rId1"/>
    <sheet name="Diagrama Gantt Acelerado" sheetId="2" r:id="rId2"/>
    <sheet name="Plan de Liberación Acelerado" sheetId="3" r:id="rId3"/>
  </sheets>
  <calcPr calcId="162913"/>
</workbook>
</file>

<file path=xl/calcChain.xml><?xml version="1.0" encoding="utf-8"?>
<calcChain xmlns="http://schemas.openxmlformats.org/spreadsheetml/2006/main">
  <c r="E13" i="1" l="1"/>
  <c r="D13" i="1"/>
</calcChain>
</file>

<file path=xl/sharedStrings.xml><?xml version="1.0" encoding="utf-8"?>
<sst xmlns="http://schemas.openxmlformats.org/spreadsheetml/2006/main" count="663" uniqueCount="221">
  <si>
    <t/>
  </si>
  <si>
    <t>#</t>
  </si>
  <si>
    <t>Macro Actividad</t>
  </si>
  <si>
    <t>Descripción del Alcance</t>
  </si>
  <si>
    <t>Esfuerzo (HH)</t>
  </si>
  <si>
    <t>Duración (Días)</t>
  </si>
  <si>
    <t>Fecha Inicio</t>
  </si>
  <si>
    <t>Fecha Entrega</t>
  </si>
  <si>
    <t>Fase de Entrega</t>
  </si>
  <si>
    <t>Estado Actual</t>
  </si>
  <si>
    <t>1. Flujo Básico Cliente App Móvil (PWA)</t>
  </si>
  <si>
    <t>Registro/Login (Google &amp; Email), itinerario activo, perfil del viajero, tienda y pasarela de pago PWA.</t>
  </si>
  <si>
    <t>14/08/2026</t>
  </si>
  <si>
    <t>Fase 1 - MVP PWA</t>
  </si>
  <si>
    <t>En Proceso (90%)</t>
  </si>
  <si>
    <t>2. Modificaciones Portal &amp; Inconsistencias</t>
  </si>
  <si>
    <t>Alineación 100% entre PWA y Portal (/perfil, /mis-reservas, /reserva/[id]), vouchers PDF y facturación CFDI.</t>
  </si>
  <si>
    <t>15/08/2026</t>
  </si>
  <si>
    <t>Fase 1 - MVP Portal</t>
  </si>
  <si>
    <t>Pendiente</t>
  </si>
  <si>
    <t>3. Modificación Panel de Agencias</t>
  </si>
  <si>
    <t>Ajustes visuales y funcionales a /dashboard/agency según prototipos (Overview, Clientes, CRM, Ventas, White-Label).</t>
  </si>
  <si>
    <t>17/08/2026</t>
  </si>
  <si>
    <t>18/08/2026</t>
  </si>
  <si>
    <t>Fase 2 - Agencias</t>
  </si>
  <si>
    <t>4. Modificación Panel de Empresas</t>
  </si>
  <si>
    <t>Ajustes a /dashboard/corporate según prototipos (Directorio Empleados, Control Gastos, CO2, Aprobaciones, Políticas).</t>
  </si>
  <si>
    <t>19/08/2026</t>
  </si>
  <si>
    <t>Fase 2 - Empresas</t>
  </si>
  <si>
    <t>5. Reestructuración de Menú &amp; Funcionalidades</t>
  </si>
  <si>
    <t>Rediseño final de PortalSidebar.tsx, depuración de opciones obsoletas e integración total de vistas CRM/RRHH/Tienda.</t>
  </si>
  <si>
    <t>20/08/2026</t>
  </si>
  <si>
    <t>Fase 2 - Intranet</t>
  </si>
  <si>
    <t>6. Conversión PWA a App Nativa (iOS/Android)</t>
  </si>
  <si>
    <t>Migración a Expo / React Native / Capacitor, empaquetado APK/IPA, Push Notifications nativas (FCM/APNs) y Stores [EN PARALELO DESDE EL DÍA 1].</t>
  </si>
  <si>
    <t>25/08/2026</t>
  </si>
  <si>
    <t>Fase 3 - App Nativa (Paralelo)</t>
  </si>
  <si>
    <t>7. Productos Complementarios No Desarrollados</t>
  </si>
  <si>
    <t>Desarrollo modular acelerado de 8 motores: Traslados, Autos, Seguros, eSIM, Paquetes, Cruceros, TourMundial y Parques.</t>
  </si>
  <si>
    <t>21/08/2026</t>
  </si>
  <si>
    <t>28/08/2026</t>
  </si>
  <si>
    <t>Fase 4 - Productos</t>
  </si>
  <si>
    <t>8. Gestión de Claves &amp; Cuentas Proveedores</t>
  </si>
  <si>
    <t>Migración de credenciales Sandbox a Producción (Amadeus, Duffel, Hotelbeds, Stripe, SendGrid, Apple, Google).</t>
  </si>
  <si>
    <t>31/08/2026</t>
  </si>
  <si>
    <t>01/09/2026</t>
  </si>
  <si>
    <t>Transversal</t>
  </si>
  <si>
    <t>9. Migración a Producción Fase a Fase</t>
  </si>
  <si>
    <t>Pase a producción por bloques con rollback plan, pruebas de carga y liberación final en vivo.</t>
  </si>
  <si>
    <t>04/09/2026</t>
  </si>
  <si>
    <t>Producción Final</t>
  </si>
  <si>
    <t>TOTAL PROYECTO ACELERADO</t>
  </si>
  <si>
    <t>4 Fases Aceleradas</t>
  </si>
  <si>
    <t>Plan Intensivo</t>
  </si>
  <si>
    <t>CRONOGRAMA DETALLADO DE TAREAS Y DIAGRAMA GANTT ACELERADO (SEMANAS DE AGOSTO A SEPTIEMBRE 2026)</t>
  </si>
  <si>
    <t>WBS</t>
  </si>
  <si>
    <t>Subtarea / Entregable Específico</t>
  </si>
  <si>
    <t>HH Est.</t>
  </si>
  <si>
    <t>Días</t>
  </si>
  <si>
    <t>Inicio</t>
  </si>
  <si>
    <t>Fin</t>
  </si>
  <si>
    <t>Responsable</t>
  </si>
  <si>
    <t>Ago 14 (Vie)</t>
  </si>
  <si>
    <t>Ago 15 (Sáb)</t>
  </si>
  <si>
    <t>Ago 17-18 (Sem 3)</t>
  </si>
  <si>
    <t>Ago 19-21 (Sem 3)</t>
  </si>
  <si>
    <t>Ago 24-25 (Sem 4)</t>
  </si>
  <si>
    <t>Ago 26-28 (Sem 4)</t>
  </si>
  <si>
    <t>Sep 31-01 (Sem 5)</t>
  </si>
  <si>
    <t>Sep 02-04 (Sem 5)</t>
  </si>
  <si>
    <t>1.1</t>
  </si>
  <si>
    <t>1. Flujo PWA Cliente</t>
  </si>
  <si>
    <t>Registro/Login con Google OAuth y Email en PWA</t>
  </si>
  <si>
    <t>Desarrollador Lead</t>
  </si>
  <si>
    <t>███</t>
  </si>
  <si>
    <t>1.2</t>
  </si>
  <si>
    <t>Perfil de viajero y gestión de itinerario activo</t>
  </si>
  <si>
    <t>Desarrollador UI</t>
  </si>
  <si>
    <t>1.3</t>
  </si>
  <si>
    <t>Pasarela de pago Tienda / Viajes con sesión inyectada</t>
  </si>
  <si>
    <t>Desarrollador Backend</t>
  </si>
  <si>
    <t>1.4</t>
  </si>
  <si>
    <t>Pruebas end-to-end de reserva y soporte offline PWA</t>
  </si>
  <si>
    <t>QA / Tester</t>
  </si>
  <si>
    <t>2.1</t>
  </si>
  <si>
    <t>2. Portal &amp; Inconsistencias</t>
  </si>
  <si>
    <t>Alineación de datos /perfil y /mis-reservas con PWA</t>
  </si>
  <si>
    <t>2.2</t>
  </si>
  <si>
    <t>Corrección de flujo de estados de reserva (Pendiente/Pagado)</t>
  </si>
  <si>
    <t>2.3</t>
  </si>
  <si>
    <t>Generación de vouchers PDF de itinerario y recibos</t>
  </si>
  <si>
    <t>2.4</t>
  </si>
  <si>
    <t>Validación final de timbrado y facturación CFDI 4.0</t>
  </si>
  <si>
    <t>6.1</t>
  </si>
  <si>
    <t>6. App Nativa (PARALELO)</t>
  </si>
  <si>
    <t>Setup de proyecto Expo / React Native / Capacitor</t>
  </si>
  <si>
    <t>Arquitecto Móvil</t>
  </si>
  <si>
    <t>6.2</t>
  </si>
  <si>
    <t>Adaptación de vistas PWA a componentes nativos</t>
  </si>
  <si>
    <t>Desarrollador Móvil</t>
  </si>
  <si>
    <t>6.3</t>
  </si>
  <si>
    <t>Notificaciones Push Nativas (FCM / APNs) y Geolocalización</t>
  </si>
  <si>
    <t>6.4</t>
  </si>
  <si>
    <t>Empaquetado APK/IPA y pruebas en emuladores/dispositivos reales</t>
  </si>
  <si>
    <t>24/08/2026</t>
  </si>
  <si>
    <t>DevOps / Móvil</t>
  </si>
  <si>
    <t>3.1</t>
  </si>
  <si>
    <t>3. Panel de Agencias</t>
  </si>
  <si>
    <t>Ajustes a Overview /dashboard/agency (KPIs y Recharts)</t>
  </si>
  <si>
    <t>3.2</t>
  </si>
  <si>
    <t>Directorio de Clientes y Agentes con acciones rápidas</t>
  </si>
  <si>
    <t>Desarrollador Frontend</t>
  </si>
  <si>
    <t>3.3</t>
  </si>
  <si>
    <t>CRM Pipeline Kanban (/dashboard/agency/crm)</t>
  </si>
  <si>
    <t>3.4</t>
  </si>
  <si>
    <t>Configuración White-Label y Pasarela Stripe por tenant</t>
  </si>
  <si>
    <t>4.1</t>
  </si>
  <si>
    <t>4. Panel de Empresas</t>
  </si>
  <si>
    <t>Directorio Empleados y Control de Gastos por departamento</t>
  </si>
  <si>
    <t>4.2</t>
  </si>
  <si>
    <t>Métricas de CO2 DEFRA y Aprobaciones de viajes corporativos</t>
  </si>
  <si>
    <t>4.3</t>
  </si>
  <si>
    <t>Políticas de viaje y métodos de pago corporativos</t>
  </si>
  <si>
    <t>5.1</t>
  </si>
  <si>
    <t>5. Menú Sidebar</t>
  </si>
  <si>
    <t>Rediseño completo de PortalSidebar.tsx en Intranet Layout</t>
  </si>
  <si>
    <t>5.2</t>
  </si>
  <si>
    <t>Incrustación de opciones solicitadas y depuración obsoleta</t>
  </si>
  <si>
    <t>7.1</t>
  </si>
  <si>
    <t>7. Productos</t>
  </si>
  <si>
    <t>7.1 Motor de Traslados (Transfers Aeropuerto-Hotel)</t>
  </si>
  <si>
    <t>Desarrollador Integraciones</t>
  </si>
  <si>
    <t>7.2</t>
  </si>
  <si>
    <t>7.2 Motor de Renta de Autos (Hertz/Avis)</t>
  </si>
  <si>
    <t>22/08/2026</t>
  </si>
  <si>
    <t>7.3</t>
  </si>
  <si>
    <t>7.3 Cotizador de Seguros de Viaje / Asistencia Médica</t>
  </si>
  <si>
    <t>7.4</t>
  </si>
  <si>
    <t>7.4 Proveedor eSIM Internacional (Planes de datos QR)</t>
  </si>
  <si>
    <t>7.5</t>
  </si>
  <si>
    <t>7.5 Motor de Paquetes Dinámicos (Vuelo+Hotel)</t>
  </si>
  <si>
    <t>26/08/2026</t>
  </si>
  <si>
    <t>7.6</t>
  </si>
  <si>
    <t>7.6 Motor de Cruceros (Royal Caribbean/MSC)</t>
  </si>
  <si>
    <t>27/08/2026</t>
  </si>
  <si>
    <t>7.7</t>
  </si>
  <si>
    <t>7.7 Integración Catálogo TourMundial</t>
  </si>
  <si>
    <t>Desarrollador Scraping</t>
  </si>
  <si>
    <t>7.8</t>
  </si>
  <si>
    <t>7.8 Boletaje Entradas Parques (Disney/Universal/Xcaret)</t>
  </si>
  <si>
    <t>Desarrollador Fullstack</t>
  </si>
  <si>
    <t>8.1</t>
  </si>
  <si>
    <t>8. Gestión Claves</t>
  </si>
  <si>
    <t>Configuración de credenciales de producción Amadeus &amp; Duffel</t>
  </si>
  <si>
    <t>Lead DevOps</t>
  </si>
  <si>
    <t>8.2</t>
  </si>
  <si>
    <t>Activación de cuentas B2B Live Hotelbeds / RateHawk</t>
  </si>
  <si>
    <t>Director Operaciones</t>
  </si>
  <si>
    <t>8.3</t>
  </si>
  <si>
    <t>Switch a claves Live Stripe, PayPal, MercadoPago &amp; Facturama</t>
  </si>
  <si>
    <t>8.4</t>
  </si>
  <si>
    <t>Verificación DNS de correo SendGrid (SPF, DKIM, DMARC)</t>
  </si>
  <si>
    <t>DevOps / SysAdmin</t>
  </si>
  <si>
    <t>8.5</t>
  </si>
  <si>
    <t>Cuentas Desarrollador Apple Developer &amp; Google Play Console</t>
  </si>
  <si>
    <t>Project Manager</t>
  </si>
  <si>
    <t>9.1</t>
  </si>
  <si>
    <t>9. Producción</t>
  </si>
  <si>
    <t>Fase 1: Despliegue PWA + Portal Cliente + Venta Vuelos/Hoteles/Tours</t>
  </si>
  <si>
    <t>Equipo DevOps / Fullstack</t>
  </si>
  <si>
    <t>9.2</t>
  </si>
  <si>
    <t>Fase 2: Despliegue Panel Agencias + Panel Empresas + CRM + Facturación</t>
  </si>
  <si>
    <t>02/09/2026</t>
  </si>
  <si>
    <t>9.3</t>
  </si>
  <si>
    <t>Fase 3: Publicación de App Nativa en Apple App Store &amp; Google Play Store</t>
  </si>
  <si>
    <t>03/09/2026</t>
  </si>
  <si>
    <t>Especialista Móvil / PM</t>
  </si>
  <si>
    <t>9.4</t>
  </si>
  <si>
    <t>Fase 4: Despliegue de Productos Complementarios y Cierre de Proyecto</t>
  </si>
  <si>
    <t>Equipo Completo</t>
  </si>
  <si>
    <t>MATRIZ DE LIBERACIÓN POR FASES A PRODUCCIÓN (PLAN ACELERADO)</t>
  </si>
  <si>
    <t>Rango de Fechas</t>
  </si>
  <si>
    <t>Duración</t>
  </si>
  <si>
    <t>Hito / Entregable Clave</t>
  </si>
  <si>
    <t>Módulos Incluidos</t>
  </si>
  <si>
    <t>Criterios de Aceptación</t>
  </si>
  <si>
    <t>FASE 1: MVP PWA &amp; Portal Cliente</t>
  </si>
  <si>
    <t>14/08/2026 - 15/08/2026</t>
  </si>
  <si>
    <t>1.5 Días</t>
  </si>
  <si>
    <t>Cliente Final Funcional en Web y PWA</t>
  </si>
  <si>
    <t>App Móvil PWA completa, Registro/Login Google &amp; Email, Itinerarios activos, Perfil, Mis Reservas, Facturación CFDI.</t>
  </si>
  <si>
    <t>El cliente puede registrarse, navegar su itinerario, reservar y facturar sin fricción tanto en PWA como en escritorio.</t>
  </si>
  <si>
    <t>FASE 3: App Nativa iOS / Android (PARALELO)</t>
  </si>
  <si>
    <t>14/08/2026 - 25/08/2026</t>
  </si>
  <si>
    <t>8 Días</t>
  </si>
  <si>
    <t>Binarios APK/IPA para Tiendas</t>
  </si>
  <si>
    <t>App empaquetada en Expo/Capacitor, Push Notifications nativas FCM/APNs, integración con sensores del dispositivo.</t>
  </si>
  <si>
    <t>Instalación directa en teléfonos y envío de binarios a App Store Connect y Google Play Console.</t>
  </si>
  <si>
    <t>FASE 2: Intranet Agencias &amp; Empresas</t>
  </si>
  <si>
    <t>17/08/2026 - 20/08/2026</t>
  </si>
  <si>
    <t>4 Días</t>
  </si>
  <si>
    <t>Portales Administrativos B2B &amp; B2E</t>
  </si>
  <si>
    <t>Dashboard de Agencias (Overview, CRM Kanban, Ventas, White-Label), Panel de Empresas (Gastos, CO2, Aprobaciones), Menú Sidebar unificado.</t>
  </si>
  <si>
    <t>Agencias pueden gestionar sus clientes y comisiones; empresas pueden aprobar viajes y auditar gastos.</t>
  </si>
  <si>
    <t>FASE 4: Productos Complementarios</t>
  </si>
  <si>
    <t>21/08/2026 - 28/08/2026</t>
  </si>
  <si>
    <t>6.5 Días</t>
  </si>
  <si>
    <t>Catálogo Turístico Completo</t>
  </si>
  <si>
    <t>Motores de Traslados, Autos, Seguros, eSIM, Paquetes Dinámicos, Cruceros, TourMundial y Parques Temáticos.</t>
  </si>
  <si>
    <t>Todos los 8 productos adicionales integrados y cotizando en tiempo real.</t>
  </si>
  <si>
    <t>DESPLIEGUE FINAL PRODUCCIÓN</t>
  </si>
  <si>
    <t>31/08/2026 - 04/09/2026</t>
  </si>
  <si>
    <t>5 Días</t>
  </si>
  <si>
    <t>Plataforma Live 100% Operativa</t>
  </si>
  <si>
    <t>Gestión de credenciales de producción, pruebas de carga, soporte post-liberación y switch final de DNS.</t>
  </si>
  <si>
    <t>Operación comercial 100% en vivo con proveedores reales y pasarelas productivas.</t>
  </si>
  <si>
    <t>AS OPERADORA DE VIAJES Y EVENTOS - PLAN MAESTRO DE TRABAJO ACELERADO Y ENTREGAS FASE1 2026</t>
  </si>
  <si>
    <t>10. Pruebas Productivas</t>
  </si>
  <si>
    <t xml:space="preserve">Pruebas controladas productivas para validar funcionamiento y API's, asi como proveedores con operaciones reales productivas. Como pagos, reservas, viajes, vuelos, etc. </t>
  </si>
  <si>
    <t>Pruebas en produccion final</t>
  </si>
  <si>
    <t>10 Macro Actividades Integrales (Ejecución Acelerada)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</si>
</sst>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2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wrapText="1"/>
    </xf>
    <xf numFmtId="0" fontId="0" fillId="0" borderId="1" xfId="0" applyNumberFormat="1" applyBorder="1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0" fontId="1" fillId="3" borderId="0" xfId="0" applyNumberFormat="1" applyFont="1" applyFill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1" fillId="2" borderId="0" xfId="0" applyNumberFormat="1" applyFont="1" applyFill="1" applyAlignment="1">
      <alignment horizontal="center" vertical="center" wrapText="1"/>
    </xf>
    <xf numFmtId="0" fontId="1" fillId="3" borderId="0" xfId="0" applyNumberFormat="1" applyFont="1" applyFill="1" applyAlignment="1">
      <alignment horizontal="left" vertical="center" wrapText="1"/>
    </xf>
    <xf numFmtId="0" fontId="0" fillId="0" borderId="1" xfId="0" applyNumberFormat="1" applyBorder="1" applyAlignment="1">
      <alignment horizontal="left" vertical="center" wrapText="1"/>
    </xf>
    <xf numFmtId="0" fontId="1" fillId="2" borderId="0" xfId="0" applyNumberFormat="1" applyFont="1" applyFill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0" fillId="0" borderId="1" xfId="0" applyNumberFormat="1" applyBorder="1" applyAlignment="1">
      <alignment horizontal="center" vertical="center"/>
    </xf>
    <xf numFmtId="0" fontId="3" fillId="2" borderId="0" xfId="0" applyNumberFormat="1" applyFont="1" applyFill="1"/>
    <xf numFmtId="0" fontId="3" fillId="2" borderId="0" xfId="0" applyNumberFormat="1" applyFont="1" applyFill="1" applyAlignment="1">
      <alignment horizontal="center"/>
    </xf>
    <xf numFmtId="0" fontId="0" fillId="0" borderId="0" xfId="0" applyNumberFormat="1" applyAlignment="1">
      <alignment horizontal="center" wrapText="1"/>
    </xf>
    <xf numFmtId="0" fontId="3" fillId="2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2" borderId="0" xfId="0" applyNumberFormat="1" applyFont="1" applyFill="1" applyAlignment="1">
      <alignment wrapText="1"/>
    </xf>
    <xf numFmtId="0" fontId="2" fillId="2" borderId="0" xfId="0" applyNumberFormat="1" applyFont="1" applyFill="1" applyAlignment="1">
      <alignment horizontal="center" wrapText="1"/>
    </xf>
    <xf numFmtId="0" fontId="2" fillId="2" borderId="0" xfId="0" applyNumberFormat="1" applyFont="1" applyFill="1" applyAlignment="1">
      <alignment horizontal="center" vertical="center" wrapText="1"/>
    </xf>
    <xf numFmtId="0" fontId="1" fillId="2" borderId="0" xfId="0" applyNumberFormat="1" applyFont="1" applyFill="1" applyAlignment="1">
      <alignment horizontal="center" vertical="center"/>
    </xf>
    <xf numFmtId="0" fontId="3" fillId="2" borderId="0" xfId="0" applyNumberFormat="1" applyFont="1" applyFill="1" applyAlignment="1">
      <alignment horizontal="center" vertical="center" wrapText="1"/>
    </xf>
    <xf numFmtId="0" fontId="4" fillId="2" borderId="0" xfId="0" applyNumberFormat="1" applyFont="1" applyFill="1" applyAlignment="1">
      <alignment horizont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zoomScaleNormal="100" workbookViewId="0">
      <selection sqref="A1:I1"/>
    </sheetView>
  </sheetViews>
  <sheetFormatPr baseColWidth="10" defaultRowHeight="15.75" x14ac:dyDescent="0.25"/>
  <cols>
    <col min="1" max="1" width="3.625" style="4" customWidth="1"/>
    <col min="2" max="2" width="32.625" style="11" customWidth="1"/>
    <col min="3" max="3" width="55.25" style="4" customWidth="1"/>
    <col min="4" max="4" width="7.875" style="4" customWidth="1"/>
    <col min="5" max="5" width="8.5" style="4" customWidth="1"/>
    <col min="6" max="6" width="11.625" style="4" customWidth="1"/>
    <col min="7" max="7" width="12.375" style="4" bestFit="1" customWidth="1"/>
    <col min="8" max="8" width="25.25" style="4" bestFit="1" customWidth="1"/>
    <col min="9" max="9" width="14.875" style="4" bestFit="1" customWidth="1"/>
    <col min="10" max="16384" width="11" style="4"/>
  </cols>
  <sheetData>
    <row r="1" spans="1:9" ht="26.25" x14ac:dyDescent="0.25">
      <c r="A1" s="22" t="s">
        <v>216</v>
      </c>
      <c r="B1" s="22"/>
      <c r="C1" s="22"/>
      <c r="D1" s="22"/>
      <c r="E1" s="22"/>
      <c r="F1" s="22"/>
      <c r="G1" s="22"/>
      <c r="H1" s="22"/>
      <c r="I1" s="22"/>
    </row>
    <row r="2" spans="1:9" ht="31.5" x14ac:dyDescent="0.25">
      <c r="A2" s="5" t="s">
        <v>1</v>
      </c>
      <c r="B2" s="8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spans="1:9" ht="31.5" x14ac:dyDescent="0.25">
      <c r="A3" s="6">
        <v>1</v>
      </c>
      <c r="B3" s="9" t="s">
        <v>10</v>
      </c>
      <c r="C3" s="9" t="s">
        <v>11</v>
      </c>
      <c r="D3" s="12">
        <v>5</v>
      </c>
      <c r="E3" s="6">
        <v>0.5</v>
      </c>
      <c r="F3" s="6" t="s">
        <v>12</v>
      </c>
      <c r="G3" s="6" t="s">
        <v>12</v>
      </c>
      <c r="H3" s="6" t="s">
        <v>13</v>
      </c>
      <c r="I3" s="6" t="s">
        <v>14</v>
      </c>
    </row>
    <row r="4" spans="1:9" ht="31.5" x14ac:dyDescent="0.25">
      <c r="A4" s="6">
        <v>2</v>
      </c>
      <c r="B4" s="9" t="s">
        <v>15</v>
      </c>
      <c r="C4" s="9" t="s">
        <v>16</v>
      </c>
      <c r="D4" s="12">
        <v>8</v>
      </c>
      <c r="E4" s="6">
        <v>1</v>
      </c>
      <c r="F4" s="6" t="s">
        <v>17</v>
      </c>
      <c r="G4" s="6" t="s">
        <v>17</v>
      </c>
      <c r="H4" s="6" t="s">
        <v>18</v>
      </c>
      <c r="I4" s="6" t="s">
        <v>19</v>
      </c>
    </row>
    <row r="5" spans="1:9" ht="31.5" x14ac:dyDescent="0.25">
      <c r="A5" s="6">
        <v>3</v>
      </c>
      <c r="B5" s="9" t="s">
        <v>20</v>
      </c>
      <c r="C5" s="9" t="s">
        <v>21</v>
      </c>
      <c r="D5" s="12">
        <v>10</v>
      </c>
      <c r="E5" s="6">
        <v>9</v>
      </c>
      <c r="F5" s="6" t="s">
        <v>22</v>
      </c>
      <c r="G5" s="6" t="s">
        <v>23</v>
      </c>
      <c r="H5" s="6" t="s">
        <v>24</v>
      </c>
      <c r="I5" s="6" t="s">
        <v>19</v>
      </c>
    </row>
    <row r="6" spans="1:9" ht="31.5" x14ac:dyDescent="0.25">
      <c r="A6" s="6">
        <v>4</v>
      </c>
      <c r="B6" s="9" t="s">
        <v>25</v>
      </c>
      <c r="C6" s="9" t="s">
        <v>26</v>
      </c>
      <c r="D6" s="12">
        <v>9</v>
      </c>
      <c r="E6" s="6">
        <v>9</v>
      </c>
      <c r="F6" s="6" t="s">
        <v>23</v>
      </c>
      <c r="G6" s="6" t="s">
        <v>27</v>
      </c>
      <c r="H6" s="6" t="s">
        <v>28</v>
      </c>
      <c r="I6" s="6" t="s">
        <v>19</v>
      </c>
    </row>
    <row r="7" spans="1:9" ht="31.5" x14ac:dyDescent="0.25">
      <c r="A7" s="6">
        <v>5</v>
      </c>
      <c r="B7" s="9" t="s">
        <v>29</v>
      </c>
      <c r="C7" s="9" t="s">
        <v>30</v>
      </c>
      <c r="D7" s="12">
        <v>6</v>
      </c>
      <c r="E7" s="6">
        <v>1</v>
      </c>
      <c r="F7" s="6" t="s">
        <v>31</v>
      </c>
      <c r="G7" s="6" t="s">
        <v>31</v>
      </c>
      <c r="H7" s="6" t="s">
        <v>32</v>
      </c>
      <c r="I7" s="6" t="s">
        <v>19</v>
      </c>
    </row>
    <row r="8" spans="1:9" ht="31.5" customHeight="1" x14ac:dyDescent="0.25">
      <c r="A8" s="6">
        <v>6</v>
      </c>
      <c r="B8" s="9" t="s">
        <v>33</v>
      </c>
      <c r="C8" s="9" t="s">
        <v>34</v>
      </c>
      <c r="D8" s="12">
        <v>64</v>
      </c>
      <c r="E8" s="6">
        <v>8</v>
      </c>
      <c r="F8" s="6" t="s">
        <v>12</v>
      </c>
      <c r="G8" s="6" t="s">
        <v>35</v>
      </c>
      <c r="H8" s="6" t="s">
        <v>36</v>
      </c>
      <c r="I8" s="6" t="s">
        <v>19</v>
      </c>
    </row>
    <row r="9" spans="1:9" ht="31.5" x14ac:dyDescent="0.25">
      <c r="A9" s="6">
        <v>7</v>
      </c>
      <c r="B9" s="9" t="s">
        <v>37</v>
      </c>
      <c r="C9" s="9" t="s">
        <v>38</v>
      </c>
      <c r="D9" s="12">
        <v>49</v>
      </c>
      <c r="E9" s="6">
        <v>6.5</v>
      </c>
      <c r="F9" s="6" t="s">
        <v>39</v>
      </c>
      <c r="G9" s="6" t="s">
        <v>40</v>
      </c>
      <c r="H9" s="6" t="s">
        <v>41</v>
      </c>
      <c r="I9" s="6" t="s">
        <v>19</v>
      </c>
    </row>
    <row r="10" spans="1:9" ht="31.5" x14ac:dyDescent="0.25">
      <c r="A10" s="6">
        <v>8</v>
      </c>
      <c r="B10" s="9" t="s">
        <v>42</v>
      </c>
      <c r="C10" s="9" t="s">
        <v>43</v>
      </c>
      <c r="D10" s="12">
        <v>8</v>
      </c>
      <c r="E10" s="6">
        <v>1.5</v>
      </c>
      <c r="F10" s="6" t="s">
        <v>44</v>
      </c>
      <c r="G10" s="6" t="s">
        <v>45</v>
      </c>
      <c r="H10" s="6" t="s">
        <v>46</v>
      </c>
      <c r="I10" s="6" t="s">
        <v>19</v>
      </c>
    </row>
    <row r="11" spans="1:9" ht="15.75" customHeight="1" x14ac:dyDescent="0.25">
      <c r="A11" s="6">
        <v>9</v>
      </c>
      <c r="B11" s="9" t="s">
        <v>47</v>
      </c>
      <c r="C11" s="9" t="s">
        <v>48</v>
      </c>
      <c r="D11" s="12">
        <v>12</v>
      </c>
      <c r="E11" s="6">
        <v>3.5</v>
      </c>
      <c r="F11" s="6" t="s">
        <v>45</v>
      </c>
      <c r="G11" s="6" t="s">
        <v>49</v>
      </c>
      <c r="H11" s="6" t="s">
        <v>50</v>
      </c>
      <c r="I11" s="6" t="s">
        <v>19</v>
      </c>
    </row>
    <row r="12" spans="1:9" ht="47.25" x14ac:dyDescent="0.25">
      <c r="A12" s="6">
        <v>10</v>
      </c>
      <c r="B12" s="9" t="s">
        <v>217</v>
      </c>
      <c r="C12" s="9" t="s">
        <v>218</v>
      </c>
      <c r="D12" s="12">
        <v>36</v>
      </c>
      <c r="E12" s="6">
        <v>5</v>
      </c>
      <c r="F12" s="24">
        <v>46272</v>
      </c>
      <c r="G12" s="24">
        <v>46276</v>
      </c>
      <c r="H12" s="6" t="s">
        <v>219</v>
      </c>
      <c r="I12" s="6" t="s">
        <v>19</v>
      </c>
    </row>
    <row r="13" spans="1:9" x14ac:dyDescent="0.25">
      <c r="A13" s="4" t="s">
        <v>0</v>
      </c>
      <c r="B13" s="10" t="s">
        <v>51</v>
      </c>
      <c r="C13" s="7" t="s">
        <v>220</v>
      </c>
      <c r="D13" s="7">
        <f>SUM(D3:D12)</f>
        <v>207</v>
      </c>
      <c r="E13" s="7">
        <f>SUM(E3:E12)</f>
        <v>45</v>
      </c>
      <c r="F13" s="7" t="s">
        <v>12</v>
      </c>
      <c r="G13" s="7" t="s">
        <v>49</v>
      </c>
      <c r="H13" s="7" t="s">
        <v>52</v>
      </c>
      <c r="I13" s="7" t="s">
        <v>53</v>
      </c>
    </row>
  </sheetData>
  <mergeCells count="1">
    <mergeCell ref="A1:I1"/>
  </mergeCells>
  <pageMargins left="0.7" right="0.7" top="0.75" bottom="0.75" header="0.3" footer="0.3"/>
  <ignoredErrors>
    <ignoredError sqref="A2:D2 A13:B13 A5:C5 F5:I5 A6:C6 F6:I6 A4:C4 E4:I4 A3:C3 E3:I3 F2:I2 A7:C11 E7:I11 F13:I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zoomScale="60" zoomScaleNormal="60" workbookViewId="0">
      <selection activeCell="C19" sqref="C19"/>
    </sheetView>
  </sheetViews>
  <sheetFormatPr baseColWidth="10" defaultRowHeight="15.75" x14ac:dyDescent="0.25"/>
  <cols>
    <col min="1" max="1" width="6.375" customWidth="1"/>
    <col min="2" max="2" width="28.125" customWidth="1"/>
    <col min="3" max="3" width="35.25" customWidth="1"/>
    <col min="4" max="4" width="8.125" style="1" bestFit="1" customWidth="1"/>
    <col min="5" max="5" width="5.25" style="1" bestFit="1" customWidth="1"/>
    <col min="6" max="6" width="12.75" style="17" customWidth="1"/>
    <col min="7" max="7" width="12.875" style="17" customWidth="1"/>
    <col min="8" max="8" width="23.625" bestFit="1" customWidth="1"/>
    <col min="9" max="9" width="8.875" customWidth="1"/>
    <col min="10" max="10" width="7.375" customWidth="1"/>
    <col min="11" max="11" width="8.5" customWidth="1"/>
    <col min="12" max="12" width="7.625" customWidth="1"/>
    <col min="13" max="13" width="8.25" customWidth="1"/>
    <col min="14" max="14" width="7.5" customWidth="1"/>
    <col min="15" max="15" width="6" customWidth="1"/>
    <col min="16" max="16" width="6.75" customWidth="1"/>
    <col min="17" max="17" width="5.625" customWidth="1"/>
  </cols>
  <sheetData>
    <row r="1" spans="1:17" ht="26.25" x14ac:dyDescent="0.4">
      <c r="A1" s="13" t="s">
        <v>54</v>
      </c>
      <c r="B1" s="13"/>
      <c r="C1" s="13"/>
      <c r="D1" s="14"/>
      <c r="E1" s="14"/>
      <c r="F1" s="16"/>
      <c r="G1" s="16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4.5" customHeight="1" x14ac:dyDescent="0.25">
      <c r="A2" t="s">
        <v>0</v>
      </c>
    </row>
    <row r="3" spans="1:17" s="2" customFormat="1" ht="93.75" x14ac:dyDescent="0.3">
      <c r="A3" s="18" t="s">
        <v>55</v>
      </c>
      <c r="B3" s="18" t="s">
        <v>2</v>
      </c>
      <c r="C3" s="18" t="s">
        <v>56</v>
      </c>
      <c r="D3" s="19" t="s">
        <v>57</v>
      </c>
      <c r="E3" s="19" t="s">
        <v>58</v>
      </c>
      <c r="F3" s="20" t="s">
        <v>59</v>
      </c>
      <c r="G3" s="20" t="s">
        <v>60</v>
      </c>
      <c r="H3" s="18" t="s">
        <v>61</v>
      </c>
      <c r="I3" s="18" t="s">
        <v>62</v>
      </c>
      <c r="J3" s="18" t="s">
        <v>63</v>
      </c>
      <c r="K3" s="18" t="s">
        <v>64</v>
      </c>
      <c r="L3" s="18" t="s">
        <v>65</v>
      </c>
      <c r="M3" s="18" t="s">
        <v>66</v>
      </c>
      <c r="N3" s="18" t="s">
        <v>67</v>
      </c>
      <c r="O3" s="18" t="s">
        <v>68</v>
      </c>
      <c r="P3" s="18" t="s">
        <v>69</v>
      </c>
      <c r="Q3" s="18"/>
    </row>
    <row r="4" spans="1:17" s="2" customFormat="1" ht="31.5" x14ac:dyDescent="0.25">
      <c r="A4" s="3" t="s">
        <v>70</v>
      </c>
      <c r="B4" s="3" t="s">
        <v>71</v>
      </c>
      <c r="C4" s="3" t="s">
        <v>72</v>
      </c>
      <c r="D4" s="6">
        <v>1</v>
      </c>
      <c r="E4" s="6">
        <v>0.25</v>
      </c>
      <c r="F4" s="6" t="s">
        <v>12</v>
      </c>
      <c r="G4" s="6" t="s">
        <v>12</v>
      </c>
      <c r="H4" s="3" t="s">
        <v>73</v>
      </c>
      <c r="I4" s="3" t="s">
        <v>74</v>
      </c>
      <c r="J4" s="3" t="s">
        <v>0</v>
      </c>
      <c r="K4" s="3" t="s">
        <v>0</v>
      </c>
      <c r="L4" s="3" t="s">
        <v>0</v>
      </c>
      <c r="M4" s="3" t="s">
        <v>0</v>
      </c>
      <c r="N4" s="3" t="s">
        <v>0</v>
      </c>
      <c r="O4" s="3" t="s">
        <v>0</v>
      </c>
      <c r="P4" s="3" t="s">
        <v>0</v>
      </c>
      <c r="Q4" s="3"/>
    </row>
    <row r="5" spans="1:17" s="2" customFormat="1" ht="31.5" x14ac:dyDescent="0.25">
      <c r="A5" s="3" t="s">
        <v>75</v>
      </c>
      <c r="B5" s="3" t="s">
        <v>71</v>
      </c>
      <c r="C5" s="3" t="s">
        <v>76</v>
      </c>
      <c r="D5" s="6">
        <v>1.5</v>
      </c>
      <c r="E5" s="6">
        <v>0.25</v>
      </c>
      <c r="F5" s="6" t="s">
        <v>12</v>
      </c>
      <c r="G5" s="6" t="s">
        <v>12</v>
      </c>
      <c r="H5" s="3" t="s">
        <v>77</v>
      </c>
      <c r="I5" s="3" t="s">
        <v>74</v>
      </c>
      <c r="J5" s="3" t="s">
        <v>0</v>
      </c>
      <c r="K5" s="3" t="s">
        <v>0</v>
      </c>
      <c r="L5" s="3" t="s">
        <v>0</v>
      </c>
      <c r="M5" s="3" t="s">
        <v>0</v>
      </c>
      <c r="N5" s="3" t="s">
        <v>0</v>
      </c>
      <c r="O5" s="3" t="s">
        <v>0</v>
      </c>
      <c r="P5" s="3" t="s">
        <v>0</v>
      </c>
      <c r="Q5" s="3"/>
    </row>
    <row r="6" spans="1:17" s="2" customFormat="1" ht="31.5" x14ac:dyDescent="0.25">
      <c r="A6" s="3" t="s">
        <v>78</v>
      </c>
      <c r="B6" s="3" t="s">
        <v>71</v>
      </c>
      <c r="C6" s="3" t="s">
        <v>79</v>
      </c>
      <c r="D6" s="6">
        <v>1.5</v>
      </c>
      <c r="E6" s="6">
        <v>0.25</v>
      </c>
      <c r="F6" s="6" t="s">
        <v>12</v>
      </c>
      <c r="G6" s="6" t="s">
        <v>12</v>
      </c>
      <c r="H6" s="3" t="s">
        <v>80</v>
      </c>
      <c r="I6" s="3" t="s">
        <v>74</v>
      </c>
      <c r="J6" s="3" t="s">
        <v>0</v>
      </c>
      <c r="K6" s="3" t="s">
        <v>0</v>
      </c>
      <c r="L6" s="3" t="s">
        <v>0</v>
      </c>
      <c r="M6" s="3" t="s">
        <v>0</v>
      </c>
      <c r="N6" s="3" t="s">
        <v>0</v>
      </c>
      <c r="O6" s="3" t="s">
        <v>0</v>
      </c>
      <c r="P6" s="3" t="s">
        <v>0</v>
      </c>
      <c r="Q6" s="3"/>
    </row>
    <row r="7" spans="1:17" s="2" customFormat="1" ht="31.5" x14ac:dyDescent="0.25">
      <c r="A7" s="3" t="s">
        <v>81</v>
      </c>
      <c r="B7" s="3" t="s">
        <v>71</v>
      </c>
      <c r="C7" s="3" t="s">
        <v>82</v>
      </c>
      <c r="D7" s="6">
        <v>1</v>
      </c>
      <c r="E7" s="6">
        <v>0.25</v>
      </c>
      <c r="F7" s="6" t="s">
        <v>12</v>
      </c>
      <c r="G7" s="6" t="s">
        <v>12</v>
      </c>
      <c r="H7" s="3" t="s">
        <v>83</v>
      </c>
      <c r="I7" s="3" t="s">
        <v>74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/>
    </row>
    <row r="8" spans="1:17" s="2" customFormat="1" ht="31.5" x14ac:dyDescent="0.25">
      <c r="A8" s="3" t="s">
        <v>84</v>
      </c>
      <c r="B8" s="3" t="s">
        <v>85</v>
      </c>
      <c r="C8" s="3" t="s">
        <v>86</v>
      </c>
      <c r="D8" s="6">
        <v>2</v>
      </c>
      <c r="E8" s="6">
        <v>0.25</v>
      </c>
      <c r="F8" s="6" t="s">
        <v>17</v>
      </c>
      <c r="G8" s="6" t="s">
        <v>17</v>
      </c>
      <c r="H8" s="3" t="s">
        <v>73</v>
      </c>
      <c r="I8" s="3" t="s">
        <v>0</v>
      </c>
      <c r="J8" s="3" t="s">
        <v>74</v>
      </c>
      <c r="K8" s="3" t="s">
        <v>0</v>
      </c>
      <c r="L8" s="3" t="s">
        <v>0</v>
      </c>
      <c r="M8" s="3" t="s">
        <v>0</v>
      </c>
      <c r="N8" s="3" t="s">
        <v>0</v>
      </c>
      <c r="O8" s="3" t="s">
        <v>0</v>
      </c>
      <c r="P8" s="3" t="s">
        <v>0</v>
      </c>
      <c r="Q8" s="3"/>
    </row>
    <row r="9" spans="1:17" s="2" customFormat="1" ht="31.5" x14ac:dyDescent="0.25">
      <c r="A9" s="3" t="s">
        <v>87</v>
      </c>
      <c r="B9" s="3" t="s">
        <v>85</v>
      </c>
      <c r="C9" s="3" t="s">
        <v>88</v>
      </c>
      <c r="D9" s="6">
        <v>2</v>
      </c>
      <c r="E9" s="6">
        <v>0.25</v>
      </c>
      <c r="F9" s="6" t="s">
        <v>17</v>
      </c>
      <c r="G9" s="6" t="s">
        <v>17</v>
      </c>
      <c r="H9" s="3" t="s">
        <v>80</v>
      </c>
      <c r="I9" s="3" t="s">
        <v>0</v>
      </c>
      <c r="J9" s="3" t="s">
        <v>74</v>
      </c>
      <c r="K9" s="3" t="s">
        <v>0</v>
      </c>
      <c r="L9" s="3" t="s">
        <v>0</v>
      </c>
      <c r="M9" s="3" t="s">
        <v>0</v>
      </c>
      <c r="N9" s="3" t="s">
        <v>0</v>
      </c>
      <c r="O9" s="3" t="s">
        <v>0</v>
      </c>
      <c r="P9" s="3" t="s">
        <v>0</v>
      </c>
      <c r="Q9" s="3"/>
    </row>
    <row r="10" spans="1:17" s="2" customFormat="1" ht="31.5" x14ac:dyDescent="0.25">
      <c r="A10" s="3" t="s">
        <v>89</v>
      </c>
      <c r="B10" s="3" t="s">
        <v>85</v>
      </c>
      <c r="C10" s="3" t="s">
        <v>90</v>
      </c>
      <c r="D10" s="6">
        <v>2</v>
      </c>
      <c r="E10" s="6">
        <v>0.25</v>
      </c>
      <c r="F10" s="6" t="s">
        <v>17</v>
      </c>
      <c r="G10" s="6" t="s">
        <v>17</v>
      </c>
      <c r="H10" s="3" t="s">
        <v>77</v>
      </c>
      <c r="I10" s="3" t="s">
        <v>0</v>
      </c>
      <c r="J10" s="3" t="s">
        <v>74</v>
      </c>
      <c r="K10" s="3" t="s">
        <v>0</v>
      </c>
      <c r="L10" s="3" t="s">
        <v>0</v>
      </c>
      <c r="M10" s="3" t="s">
        <v>0</v>
      </c>
      <c r="N10" s="3" t="s">
        <v>0</v>
      </c>
      <c r="O10" s="3" t="s">
        <v>0</v>
      </c>
      <c r="P10" s="3" t="s">
        <v>0</v>
      </c>
      <c r="Q10" s="3"/>
    </row>
    <row r="11" spans="1:17" s="2" customFormat="1" ht="31.5" x14ac:dyDescent="0.25">
      <c r="A11" s="3" t="s">
        <v>91</v>
      </c>
      <c r="B11" s="3" t="s">
        <v>85</v>
      </c>
      <c r="C11" s="3" t="s">
        <v>92</v>
      </c>
      <c r="D11" s="6">
        <v>2</v>
      </c>
      <c r="E11" s="6">
        <v>0.25</v>
      </c>
      <c r="F11" s="6" t="s">
        <v>17</v>
      </c>
      <c r="G11" s="6" t="s">
        <v>17</v>
      </c>
      <c r="H11" s="3" t="s">
        <v>80</v>
      </c>
      <c r="I11" s="3" t="s">
        <v>0</v>
      </c>
      <c r="J11" s="3" t="s">
        <v>74</v>
      </c>
      <c r="K11" s="3" t="s">
        <v>0</v>
      </c>
      <c r="L11" s="3" t="s">
        <v>0</v>
      </c>
      <c r="M11" s="3" t="s">
        <v>0</v>
      </c>
      <c r="N11" s="3" t="s">
        <v>0</v>
      </c>
      <c r="O11" s="3" t="s">
        <v>0</v>
      </c>
      <c r="P11" s="3" t="s">
        <v>0</v>
      </c>
      <c r="Q11" s="3"/>
    </row>
    <row r="12" spans="1:17" s="2" customFormat="1" ht="31.5" x14ac:dyDescent="0.25">
      <c r="A12" s="3" t="s">
        <v>93</v>
      </c>
      <c r="B12" s="3" t="s">
        <v>94</v>
      </c>
      <c r="C12" s="3" t="s">
        <v>95</v>
      </c>
      <c r="D12" s="6">
        <v>12</v>
      </c>
      <c r="E12" s="6">
        <v>1.5</v>
      </c>
      <c r="F12" s="6" t="s">
        <v>12</v>
      </c>
      <c r="G12" s="6" t="s">
        <v>17</v>
      </c>
      <c r="H12" s="3" t="s">
        <v>96</v>
      </c>
      <c r="I12" s="3" t="s">
        <v>74</v>
      </c>
      <c r="J12" s="3" t="s">
        <v>74</v>
      </c>
      <c r="K12" s="3" t="s">
        <v>0</v>
      </c>
      <c r="L12" s="3" t="s">
        <v>0</v>
      </c>
      <c r="M12" s="3" t="s">
        <v>0</v>
      </c>
      <c r="N12" s="3" t="s">
        <v>0</v>
      </c>
      <c r="O12" s="3" t="s">
        <v>0</v>
      </c>
      <c r="P12" s="3" t="s">
        <v>0</v>
      </c>
      <c r="Q12" s="3"/>
    </row>
    <row r="13" spans="1:17" s="2" customFormat="1" ht="31.5" x14ac:dyDescent="0.25">
      <c r="A13" s="3" t="s">
        <v>97</v>
      </c>
      <c r="B13" s="3" t="s">
        <v>94</v>
      </c>
      <c r="C13" s="3" t="s">
        <v>98</v>
      </c>
      <c r="D13" s="6">
        <v>20</v>
      </c>
      <c r="E13" s="6">
        <v>2.5</v>
      </c>
      <c r="F13" s="6" t="s">
        <v>22</v>
      </c>
      <c r="G13" s="6" t="s">
        <v>27</v>
      </c>
      <c r="H13" s="3" t="s">
        <v>99</v>
      </c>
      <c r="I13" s="3" t="s">
        <v>0</v>
      </c>
      <c r="J13" s="3" t="s">
        <v>0</v>
      </c>
      <c r="K13" s="3" t="s">
        <v>74</v>
      </c>
      <c r="L13" s="3" t="s">
        <v>74</v>
      </c>
      <c r="M13" s="3" t="s">
        <v>0</v>
      </c>
      <c r="N13" s="3" t="s">
        <v>0</v>
      </c>
      <c r="O13" s="3" t="s">
        <v>0</v>
      </c>
      <c r="P13" s="3" t="s">
        <v>0</v>
      </c>
      <c r="Q13" s="3"/>
    </row>
    <row r="14" spans="1:17" s="2" customFormat="1" ht="31.5" x14ac:dyDescent="0.25">
      <c r="A14" s="3" t="s">
        <v>100</v>
      </c>
      <c r="B14" s="3" t="s">
        <v>94</v>
      </c>
      <c r="C14" s="3" t="s">
        <v>101</v>
      </c>
      <c r="D14" s="6">
        <v>16</v>
      </c>
      <c r="E14" s="6">
        <v>2</v>
      </c>
      <c r="F14" s="6" t="s">
        <v>31</v>
      </c>
      <c r="G14" s="6" t="s">
        <v>39</v>
      </c>
      <c r="H14" s="3" t="s">
        <v>80</v>
      </c>
      <c r="I14" s="3" t="s">
        <v>0</v>
      </c>
      <c r="J14" s="3" t="s">
        <v>0</v>
      </c>
      <c r="K14" s="3" t="s">
        <v>0</v>
      </c>
      <c r="L14" s="3" t="s">
        <v>74</v>
      </c>
      <c r="M14" s="3" t="s">
        <v>0</v>
      </c>
      <c r="N14" s="3" t="s">
        <v>0</v>
      </c>
      <c r="O14" s="3" t="s">
        <v>0</v>
      </c>
      <c r="P14" s="3" t="s">
        <v>0</v>
      </c>
      <c r="Q14" s="3"/>
    </row>
    <row r="15" spans="1:17" s="2" customFormat="1" ht="31.5" x14ac:dyDescent="0.25">
      <c r="A15" s="3" t="s">
        <v>102</v>
      </c>
      <c r="B15" s="3" t="s">
        <v>94</v>
      </c>
      <c r="C15" s="3" t="s">
        <v>103</v>
      </c>
      <c r="D15" s="6">
        <v>16</v>
      </c>
      <c r="E15" s="6">
        <v>2</v>
      </c>
      <c r="F15" s="6" t="s">
        <v>104</v>
      </c>
      <c r="G15" s="6" t="s">
        <v>35</v>
      </c>
      <c r="H15" s="3" t="s">
        <v>105</v>
      </c>
      <c r="I15" s="3" t="s">
        <v>0</v>
      </c>
      <c r="J15" s="3" t="s">
        <v>0</v>
      </c>
      <c r="K15" s="3" t="s">
        <v>0</v>
      </c>
      <c r="L15" s="3" t="s">
        <v>0</v>
      </c>
      <c r="M15" s="3" t="s">
        <v>74</v>
      </c>
      <c r="N15" s="3" t="s">
        <v>0</v>
      </c>
      <c r="O15" s="3" t="s">
        <v>0</v>
      </c>
      <c r="P15" s="3" t="s">
        <v>0</v>
      </c>
      <c r="Q15" s="3"/>
    </row>
    <row r="16" spans="1:17" s="2" customFormat="1" ht="31.5" x14ac:dyDescent="0.25">
      <c r="A16" s="3" t="s">
        <v>106</v>
      </c>
      <c r="B16" s="3" t="s">
        <v>107</v>
      </c>
      <c r="C16" s="3" t="s">
        <v>108</v>
      </c>
      <c r="D16" s="6">
        <v>2</v>
      </c>
      <c r="E16" s="6">
        <v>0.3</v>
      </c>
      <c r="F16" s="6" t="s">
        <v>22</v>
      </c>
      <c r="G16" s="6" t="s">
        <v>22</v>
      </c>
      <c r="H16" s="3" t="s">
        <v>77</v>
      </c>
      <c r="I16" s="3" t="s">
        <v>0</v>
      </c>
      <c r="J16" s="3" t="s">
        <v>0</v>
      </c>
      <c r="K16" s="3" t="s">
        <v>74</v>
      </c>
      <c r="L16" s="3" t="s">
        <v>0</v>
      </c>
      <c r="M16" s="3" t="s">
        <v>0</v>
      </c>
      <c r="N16" s="3" t="s">
        <v>0</v>
      </c>
      <c r="O16" s="3" t="s">
        <v>0</v>
      </c>
      <c r="P16" s="3" t="s">
        <v>0</v>
      </c>
      <c r="Q16" s="3"/>
    </row>
    <row r="17" spans="1:17" s="2" customFormat="1" ht="31.5" x14ac:dyDescent="0.25">
      <c r="A17" s="3" t="s">
        <v>109</v>
      </c>
      <c r="B17" s="3" t="s">
        <v>107</v>
      </c>
      <c r="C17" s="3" t="s">
        <v>110</v>
      </c>
      <c r="D17" s="6">
        <v>2</v>
      </c>
      <c r="E17" s="6">
        <v>0.3</v>
      </c>
      <c r="F17" s="6" t="s">
        <v>22</v>
      </c>
      <c r="G17" s="6" t="s">
        <v>22</v>
      </c>
      <c r="H17" s="3" t="s">
        <v>111</v>
      </c>
      <c r="I17" s="3" t="s">
        <v>0</v>
      </c>
      <c r="J17" s="3" t="s">
        <v>0</v>
      </c>
      <c r="K17" s="3" t="s">
        <v>74</v>
      </c>
      <c r="L17" s="3" t="s">
        <v>0</v>
      </c>
      <c r="M17" s="3" t="s">
        <v>0</v>
      </c>
      <c r="N17" s="3" t="s">
        <v>0</v>
      </c>
      <c r="O17" s="3" t="s">
        <v>0</v>
      </c>
      <c r="P17" s="3" t="s">
        <v>0</v>
      </c>
      <c r="Q17" s="3"/>
    </row>
    <row r="18" spans="1:17" s="2" customFormat="1" ht="31.5" x14ac:dyDescent="0.25">
      <c r="A18" s="3" t="s">
        <v>112</v>
      </c>
      <c r="B18" s="3" t="s">
        <v>107</v>
      </c>
      <c r="C18" s="3" t="s">
        <v>113</v>
      </c>
      <c r="D18" s="6">
        <v>3</v>
      </c>
      <c r="E18" s="6">
        <v>0.4</v>
      </c>
      <c r="F18" s="6" t="s">
        <v>23</v>
      </c>
      <c r="G18" s="6" t="s">
        <v>23</v>
      </c>
      <c r="H18" s="3" t="s">
        <v>73</v>
      </c>
      <c r="I18" s="3" t="s">
        <v>0</v>
      </c>
      <c r="J18" s="3" t="s">
        <v>0</v>
      </c>
      <c r="K18" s="3" t="s">
        <v>74</v>
      </c>
      <c r="L18" s="3" t="s">
        <v>0</v>
      </c>
      <c r="M18" s="3" t="s">
        <v>0</v>
      </c>
      <c r="N18" s="3" t="s">
        <v>0</v>
      </c>
      <c r="O18" s="3" t="s">
        <v>0</v>
      </c>
      <c r="P18" s="3" t="s">
        <v>0</v>
      </c>
      <c r="Q18" s="3"/>
    </row>
    <row r="19" spans="1:17" s="2" customFormat="1" ht="31.5" x14ac:dyDescent="0.25">
      <c r="A19" s="3" t="s">
        <v>114</v>
      </c>
      <c r="B19" s="3" t="s">
        <v>107</v>
      </c>
      <c r="C19" s="3" t="s">
        <v>115</v>
      </c>
      <c r="D19" s="6">
        <v>3</v>
      </c>
      <c r="E19" s="6">
        <v>0.5</v>
      </c>
      <c r="F19" s="6" t="s">
        <v>23</v>
      </c>
      <c r="G19" s="6" t="s">
        <v>23</v>
      </c>
      <c r="H19" s="3" t="s">
        <v>80</v>
      </c>
      <c r="I19" s="3" t="s">
        <v>0</v>
      </c>
      <c r="J19" s="3" t="s">
        <v>0</v>
      </c>
      <c r="K19" s="3" t="s">
        <v>74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/>
    </row>
    <row r="20" spans="1:17" s="2" customFormat="1" ht="31.5" x14ac:dyDescent="0.25">
      <c r="A20" s="3" t="s">
        <v>116</v>
      </c>
      <c r="B20" s="3" t="s">
        <v>117</v>
      </c>
      <c r="C20" s="3" t="s">
        <v>118</v>
      </c>
      <c r="D20" s="6">
        <v>3</v>
      </c>
      <c r="E20" s="6">
        <v>0.5</v>
      </c>
      <c r="F20" s="6" t="s">
        <v>23</v>
      </c>
      <c r="G20" s="6" t="s">
        <v>27</v>
      </c>
      <c r="H20" s="3" t="s">
        <v>111</v>
      </c>
      <c r="I20" s="3" t="s">
        <v>0</v>
      </c>
      <c r="J20" s="3" t="s">
        <v>0</v>
      </c>
      <c r="K20" s="3" t="s">
        <v>74</v>
      </c>
      <c r="L20" s="3" t="s">
        <v>74</v>
      </c>
      <c r="M20" s="3" t="s">
        <v>0</v>
      </c>
      <c r="N20" s="3" t="s">
        <v>0</v>
      </c>
      <c r="O20" s="3" t="s">
        <v>0</v>
      </c>
      <c r="P20" s="3" t="s">
        <v>0</v>
      </c>
      <c r="Q20" s="3"/>
    </row>
    <row r="21" spans="1:17" s="2" customFormat="1" ht="31.5" x14ac:dyDescent="0.25">
      <c r="A21" s="3" t="s">
        <v>119</v>
      </c>
      <c r="B21" s="3" t="s">
        <v>117</v>
      </c>
      <c r="C21" s="3" t="s">
        <v>120</v>
      </c>
      <c r="D21" s="6">
        <v>3</v>
      </c>
      <c r="E21" s="6">
        <v>0.5</v>
      </c>
      <c r="F21" s="6" t="s">
        <v>27</v>
      </c>
      <c r="G21" s="6" t="s">
        <v>27</v>
      </c>
      <c r="H21" s="3" t="s">
        <v>80</v>
      </c>
      <c r="I21" s="3" t="s">
        <v>0</v>
      </c>
      <c r="J21" s="3" t="s">
        <v>0</v>
      </c>
      <c r="K21" s="3" t="s">
        <v>0</v>
      </c>
      <c r="L21" s="3" t="s">
        <v>74</v>
      </c>
      <c r="M21" s="3" t="s">
        <v>0</v>
      </c>
      <c r="N21" s="3" t="s">
        <v>0</v>
      </c>
      <c r="O21" s="3" t="s">
        <v>0</v>
      </c>
      <c r="P21" s="3" t="s">
        <v>0</v>
      </c>
      <c r="Q21" s="3"/>
    </row>
    <row r="22" spans="1:17" s="2" customFormat="1" ht="31.5" x14ac:dyDescent="0.25">
      <c r="A22" s="3" t="s">
        <v>121</v>
      </c>
      <c r="B22" s="3" t="s">
        <v>117</v>
      </c>
      <c r="C22" s="3" t="s">
        <v>122</v>
      </c>
      <c r="D22" s="6">
        <v>3</v>
      </c>
      <c r="E22" s="6">
        <v>0.5</v>
      </c>
      <c r="F22" s="6" t="s">
        <v>27</v>
      </c>
      <c r="G22" s="6" t="s">
        <v>27</v>
      </c>
      <c r="H22" s="3" t="s">
        <v>73</v>
      </c>
      <c r="I22" s="3" t="s">
        <v>0</v>
      </c>
      <c r="J22" s="3" t="s">
        <v>0</v>
      </c>
      <c r="K22" s="3" t="s">
        <v>0</v>
      </c>
      <c r="L22" s="3" t="s">
        <v>74</v>
      </c>
      <c r="M22" s="3" t="s">
        <v>0</v>
      </c>
      <c r="N22" s="3" t="s">
        <v>0</v>
      </c>
      <c r="O22" s="3" t="s">
        <v>0</v>
      </c>
      <c r="P22" s="3" t="s">
        <v>0</v>
      </c>
      <c r="Q22" s="3"/>
    </row>
    <row r="23" spans="1:17" s="2" customFormat="1" ht="31.5" x14ac:dyDescent="0.25">
      <c r="A23" s="3" t="s">
        <v>123</v>
      </c>
      <c r="B23" s="3" t="s">
        <v>124</v>
      </c>
      <c r="C23" s="3" t="s">
        <v>125</v>
      </c>
      <c r="D23" s="6">
        <v>3</v>
      </c>
      <c r="E23" s="6">
        <v>0.5</v>
      </c>
      <c r="F23" s="6" t="s">
        <v>31</v>
      </c>
      <c r="G23" s="6" t="s">
        <v>31</v>
      </c>
      <c r="H23" s="3" t="s">
        <v>77</v>
      </c>
      <c r="I23" s="3" t="s">
        <v>0</v>
      </c>
      <c r="J23" s="3" t="s">
        <v>0</v>
      </c>
      <c r="K23" s="3" t="s">
        <v>0</v>
      </c>
      <c r="L23" s="3" t="s">
        <v>74</v>
      </c>
      <c r="M23" s="3" t="s">
        <v>0</v>
      </c>
      <c r="N23" s="3" t="s">
        <v>0</v>
      </c>
      <c r="O23" s="3" t="s">
        <v>0</v>
      </c>
      <c r="P23" s="3" t="s">
        <v>0</v>
      </c>
      <c r="Q23" s="3"/>
    </row>
    <row r="24" spans="1:17" s="2" customFormat="1" ht="31.5" x14ac:dyDescent="0.25">
      <c r="A24" s="3" t="s">
        <v>126</v>
      </c>
      <c r="B24" s="3" t="s">
        <v>124</v>
      </c>
      <c r="C24" s="3" t="s">
        <v>127</v>
      </c>
      <c r="D24" s="6">
        <v>3</v>
      </c>
      <c r="E24" s="6">
        <v>0.5</v>
      </c>
      <c r="F24" s="6" t="s">
        <v>31</v>
      </c>
      <c r="G24" s="6" t="s">
        <v>31</v>
      </c>
      <c r="H24" s="3" t="s">
        <v>111</v>
      </c>
      <c r="I24" s="3" t="s">
        <v>0</v>
      </c>
      <c r="J24" s="3" t="s">
        <v>0</v>
      </c>
      <c r="K24" s="3" t="s">
        <v>0</v>
      </c>
      <c r="L24" s="3" t="s">
        <v>74</v>
      </c>
      <c r="M24" s="3" t="s">
        <v>0</v>
      </c>
      <c r="N24" s="3" t="s">
        <v>0</v>
      </c>
      <c r="O24" s="3" t="s">
        <v>0</v>
      </c>
      <c r="P24" s="3" t="s">
        <v>0</v>
      </c>
      <c r="Q24" s="3"/>
    </row>
    <row r="25" spans="1:17" s="2" customFormat="1" ht="31.5" x14ac:dyDescent="0.25">
      <c r="A25" s="3" t="s">
        <v>128</v>
      </c>
      <c r="B25" s="3" t="s">
        <v>129</v>
      </c>
      <c r="C25" s="3" t="s">
        <v>130</v>
      </c>
      <c r="D25" s="6">
        <v>5</v>
      </c>
      <c r="E25" s="6">
        <v>0.75</v>
      </c>
      <c r="F25" s="6" t="s">
        <v>39</v>
      </c>
      <c r="G25" s="6" t="s">
        <v>39</v>
      </c>
      <c r="H25" s="3" t="s">
        <v>131</v>
      </c>
      <c r="I25" s="3" t="s">
        <v>0</v>
      </c>
      <c r="J25" s="3" t="s">
        <v>0</v>
      </c>
      <c r="K25" s="3" t="s">
        <v>0</v>
      </c>
      <c r="L25" s="3" t="s">
        <v>74</v>
      </c>
      <c r="M25" s="3" t="s">
        <v>0</v>
      </c>
      <c r="N25" s="3" t="s">
        <v>0</v>
      </c>
      <c r="O25" s="3" t="s">
        <v>0</v>
      </c>
      <c r="P25" s="3" t="s">
        <v>0</v>
      </c>
      <c r="Q25" s="3"/>
    </row>
    <row r="26" spans="1:17" s="2" customFormat="1" x14ac:dyDescent="0.25">
      <c r="A26" s="3" t="s">
        <v>132</v>
      </c>
      <c r="B26" s="3" t="s">
        <v>129</v>
      </c>
      <c r="C26" s="3" t="s">
        <v>133</v>
      </c>
      <c r="D26" s="6">
        <v>5</v>
      </c>
      <c r="E26" s="6">
        <v>0.75</v>
      </c>
      <c r="F26" s="6" t="s">
        <v>134</v>
      </c>
      <c r="G26" s="6" t="s">
        <v>134</v>
      </c>
      <c r="H26" s="3" t="s">
        <v>131</v>
      </c>
      <c r="I26" s="3" t="s">
        <v>0</v>
      </c>
      <c r="J26" s="3" t="s">
        <v>0</v>
      </c>
      <c r="K26" s="3" t="s">
        <v>0</v>
      </c>
      <c r="L26" s="3" t="s">
        <v>0</v>
      </c>
      <c r="M26" s="3" t="s">
        <v>74</v>
      </c>
      <c r="N26" s="3" t="s">
        <v>0</v>
      </c>
      <c r="O26" s="3" t="s">
        <v>0</v>
      </c>
      <c r="P26" s="3" t="s">
        <v>0</v>
      </c>
      <c r="Q26" s="3"/>
    </row>
    <row r="27" spans="1:17" s="2" customFormat="1" ht="31.5" x14ac:dyDescent="0.25">
      <c r="A27" s="3" t="s">
        <v>135</v>
      </c>
      <c r="B27" s="3" t="s">
        <v>129</v>
      </c>
      <c r="C27" s="3" t="s">
        <v>136</v>
      </c>
      <c r="D27" s="6">
        <v>4</v>
      </c>
      <c r="E27" s="6">
        <v>0.5</v>
      </c>
      <c r="F27" s="6" t="s">
        <v>104</v>
      </c>
      <c r="G27" s="6" t="s">
        <v>104</v>
      </c>
      <c r="H27" s="3" t="s">
        <v>80</v>
      </c>
      <c r="I27" s="3" t="s">
        <v>0</v>
      </c>
      <c r="J27" s="3" t="s">
        <v>0</v>
      </c>
      <c r="K27" s="3" t="s">
        <v>0</v>
      </c>
      <c r="L27" s="3" t="s">
        <v>0</v>
      </c>
      <c r="M27" s="3" t="s">
        <v>74</v>
      </c>
      <c r="N27" s="3" t="s">
        <v>0</v>
      </c>
      <c r="O27" s="3" t="s">
        <v>0</v>
      </c>
      <c r="P27" s="3" t="s">
        <v>0</v>
      </c>
      <c r="Q27" s="3"/>
    </row>
    <row r="28" spans="1:17" s="2" customFormat="1" ht="31.5" x14ac:dyDescent="0.25">
      <c r="A28" s="3" t="s">
        <v>137</v>
      </c>
      <c r="B28" s="3" t="s">
        <v>129</v>
      </c>
      <c r="C28" s="3" t="s">
        <v>138</v>
      </c>
      <c r="D28" s="6">
        <v>5</v>
      </c>
      <c r="E28" s="6">
        <v>0.75</v>
      </c>
      <c r="F28" s="6" t="s">
        <v>35</v>
      </c>
      <c r="G28" s="6" t="s">
        <v>35</v>
      </c>
      <c r="H28" s="3" t="s">
        <v>131</v>
      </c>
      <c r="I28" s="3" t="s">
        <v>0</v>
      </c>
      <c r="J28" s="3" t="s">
        <v>0</v>
      </c>
      <c r="K28" s="3" t="s">
        <v>0</v>
      </c>
      <c r="L28" s="3" t="s">
        <v>0</v>
      </c>
      <c r="M28" s="3" t="s">
        <v>74</v>
      </c>
      <c r="N28" s="3" t="s">
        <v>0</v>
      </c>
      <c r="O28" s="3" t="s">
        <v>0</v>
      </c>
      <c r="P28" s="3" t="s">
        <v>0</v>
      </c>
      <c r="Q28" s="3"/>
    </row>
    <row r="29" spans="1:17" s="2" customFormat="1" ht="31.5" x14ac:dyDescent="0.25">
      <c r="A29" s="3" t="s">
        <v>139</v>
      </c>
      <c r="B29" s="3" t="s">
        <v>129</v>
      </c>
      <c r="C29" s="3" t="s">
        <v>140</v>
      </c>
      <c r="D29" s="6">
        <v>7</v>
      </c>
      <c r="E29" s="6">
        <v>1</v>
      </c>
      <c r="F29" s="6" t="s">
        <v>141</v>
      </c>
      <c r="G29" s="6" t="s">
        <v>141</v>
      </c>
      <c r="H29" s="3" t="s">
        <v>73</v>
      </c>
      <c r="I29" s="3" t="s">
        <v>0</v>
      </c>
      <c r="J29" s="3" t="s">
        <v>0</v>
      </c>
      <c r="K29" s="3" t="s">
        <v>0</v>
      </c>
      <c r="L29" s="3" t="s">
        <v>0</v>
      </c>
      <c r="M29" s="3" t="s">
        <v>0</v>
      </c>
      <c r="N29" s="3" t="s">
        <v>74</v>
      </c>
      <c r="O29" s="3" t="s">
        <v>0</v>
      </c>
      <c r="P29" s="3" t="s">
        <v>0</v>
      </c>
      <c r="Q29" s="3"/>
    </row>
    <row r="30" spans="1:17" s="2" customFormat="1" ht="31.5" x14ac:dyDescent="0.25">
      <c r="A30" s="3" t="s">
        <v>142</v>
      </c>
      <c r="B30" s="3" t="s">
        <v>129</v>
      </c>
      <c r="C30" s="3" t="s">
        <v>143</v>
      </c>
      <c r="D30" s="6">
        <v>8</v>
      </c>
      <c r="E30" s="6">
        <v>1</v>
      </c>
      <c r="F30" s="6" t="s">
        <v>144</v>
      </c>
      <c r="G30" s="6" t="s">
        <v>144</v>
      </c>
      <c r="H30" s="3" t="s">
        <v>131</v>
      </c>
      <c r="I30" s="3" t="s">
        <v>0</v>
      </c>
      <c r="J30" s="3" t="s">
        <v>0</v>
      </c>
      <c r="K30" s="3" t="s">
        <v>0</v>
      </c>
      <c r="L30" s="3" t="s">
        <v>0</v>
      </c>
      <c r="M30" s="3" t="s">
        <v>0</v>
      </c>
      <c r="N30" s="3" t="s">
        <v>74</v>
      </c>
      <c r="O30" s="3" t="s">
        <v>0</v>
      </c>
      <c r="P30" s="3" t="s">
        <v>0</v>
      </c>
      <c r="Q30" s="3"/>
    </row>
    <row r="31" spans="1:17" s="2" customFormat="1" x14ac:dyDescent="0.25">
      <c r="A31" s="3" t="s">
        <v>145</v>
      </c>
      <c r="B31" s="3" t="s">
        <v>129</v>
      </c>
      <c r="C31" s="3" t="s">
        <v>146</v>
      </c>
      <c r="D31" s="6">
        <v>6</v>
      </c>
      <c r="E31" s="6">
        <v>0.75</v>
      </c>
      <c r="F31" s="6" t="s">
        <v>40</v>
      </c>
      <c r="G31" s="6" t="s">
        <v>40</v>
      </c>
      <c r="H31" s="3" t="s">
        <v>147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74</v>
      </c>
      <c r="O31" s="3" t="s">
        <v>0</v>
      </c>
      <c r="P31" s="3" t="s">
        <v>0</v>
      </c>
      <c r="Q31" s="3"/>
    </row>
    <row r="32" spans="1:17" s="2" customFormat="1" ht="31.5" x14ac:dyDescent="0.25">
      <c r="A32" s="3" t="s">
        <v>148</v>
      </c>
      <c r="B32" s="3" t="s">
        <v>129</v>
      </c>
      <c r="C32" s="3" t="s">
        <v>149</v>
      </c>
      <c r="D32" s="6">
        <v>7</v>
      </c>
      <c r="E32" s="6">
        <v>0.75</v>
      </c>
      <c r="F32" s="6" t="s">
        <v>40</v>
      </c>
      <c r="G32" s="6" t="s">
        <v>40</v>
      </c>
      <c r="H32" s="3" t="s">
        <v>150</v>
      </c>
      <c r="I32" s="3" t="s">
        <v>0</v>
      </c>
      <c r="J32" s="3" t="s">
        <v>0</v>
      </c>
      <c r="K32" s="3" t="s">
        <v>0</v>
      </c>
      <c r="L32" s="3" t="s">
        <v>0</v>
      </c>
      <c r="M32" s="3" t="s">
        <v>0</v>
      </c>
      <c r="N32" s="3" t="s">
        <v>74</v>
      </c>
      <c r="O32" s="3" t="s">
        <v>0</v>
      </c>
      <c r="P32" s="3" t="s">
        <v>0</v>
      </c>
      <c r="Q32" s="3"/>
    </row>
    <row r="33" spans="1:17" s="2" customFormat="1" ht="31.5" x14ac:dyDescent="0.25">
      <c r="A33" s="3" t="s">
        <v>151</v>
      </c>
      <c r="B33" s="3" t="s">
        <v>152</v>
      </c>
      <c r="C33" s="3" t="s">
        <v>153</v>
      </c>
      <c r="D33" s="6">
        <v>2</v>
      </c>
      <c r="E33" s="6">
        <v>0.3</v>
      </c>
      <c r="F33" s="6" t="s">
        <v>44</v>
      </c>
      <c r="G33" s="6" t="s">
        <v>44</v>
      </c>
      <c r="H33" s="3" t="s">
        <v>154</v>
      </c>
      <c r="I33" s="3" t="s">
        <v>0</v>
      </c>
      <c r="J33" s="3" t="s">
        <v>0</v>
      </c>
      <c r="K33" s="3" t="s">
        <v>0</v>
      </c>
      <c r="L33" s="3" t="s">
        <v>0</v>
      </c>
      <c r="M33" s="3" t="s">
        <v>0</v>
      </c>
      <c r="N33" s="3" t="s">
        <v>0</v>
      </c>
      <c r="O33" s="3" t="s">
        <v>74</v>
      </c>
      <c r="P33" s="3" t="s">
        <v>0</v>
      </c>
      <c r="Q33" s="3"/>
    </row>
    <row r="34" spans="1:17" s="2" customFormat="1" ht="31.5" x14ac:dyDescent="0.25">
      <c r="A34" s="3" t="s">
        <v>155</v>
      </c>
      <c r="B34" s="3" t="s">
        <v>152</v>
      </c>
      <c r="C34" s="3" t="s">
        <v>156</v>
      </c>
      <c r="D34" s="6">
        <v>2</v>
      </c>
      <c r="E34" s="6">
        <v>0.3</v>
      </c>
      <c r="F34" s="6" t="s">
        <v>44</v>
      </c>
      <c r="G34" s="6" t="s">
        <v>44</v>
      </c>
      <c r="H34" s="3" t="s">
        <v>157</v>
      </c>
      <c r="I34" s="3" t="s">
        <v>0</v>
      </c>
      <c r="J34" s="3" t="s">
        <v>0</v>
      </c>
      <c r="K34" s="3" t="s">
        <v>0</v>
      </c>
      <c r="L34" s="3" t="s">
        <v>0</v>
      </c>
      <c r="M34" s="3" t="s">
        <v>0</v>
      </c>
      <c r="N34" s="3" t="s">
        <v>0</v>
      </c>
      <c r="O34" s="3" t="s">
        <v>74</v>
      </c>
      <c r="P34" s="3" t="s">
        <v>0</v>
      </c>
      <c r="Q34" s="3"/>
    </row>
    <row r="35" spans="1:17" s="2" customFormat="1" ht="31.5" x14ac:dyDescent="0.25">
      <c r="A35" s="3" t="s">
        <v>158</v>
      </c>
      <c r="B35" s="3" t="s">
        <v>152</v>
      </c>
      <c r="C35" s="3" t="s">
        <v>159</v>
      </c>
      <c r="D35" s="6">
        <v>2</v>
      </c>
      <c r="E35" s="6">
        <v>0.3</v>
      </c>
      <c r="F35" s="6" t="s">
        <v>45</v>
      </c>
      <c r="G35" s="6" t="s">
        <v>45</v>
      </c>
      <c r="H35" s="3" t="s">
        <v>80</v>
      </c>
      <c r="I35" s="3" t="s">
        <v>0</v>
      </c>
      <c r="J35" s="3" t="s">
        <v>0</v>
      </c>
      <c r="K35" s="3" t="s">
        <v>0</v>
      </c>
      <c r="L35" s="3" t="s">
        <v>0</v>
      </c>
      <c r="M35" s="3" t="s">
        <v>0</v>
      </c>
      <c r="N35" s="3" t="s">
        <v>0</v>
      </c>
      <c r="O35" s="3" t="s">
        <v>74</v>
      </c>
      <c r="P35" s="3" t="s">
        <v>0</v>
      </c>
      <c r="Q35" s="3"/>
    </row>
    <row r="36" spans="1:17" s="2" customFormat="1" ht="31.5" x14ac:dyDescent="0.25">
      <c r="A36" s="3" t="s">
        <v>160</v>
      </c>
      <c r="B36" s="3" t="s">
        <v>152</v>
      </c>
      <c r="C36" s="3" t="s">
        <v>161</v>
      </c>
      <c r="D36" s="6">
        <v>1</v>
      </c>
      <c r="E36" s="6">
        <v>0.3</v>
      </c>
      <c r="F36" s="6" t="s">
        <v>45</v>
      </c>
      <c r="G36" s="6" t="s">
        <v>45</v>
      </c>
      <c r="H36" s="3" t="s">
        <v>162</v>
      </c>
      <c r="I36" s="3" t="s">
        <v>0</v>
      </c>
      <c r="J36" s="3" t="s">
        <v>0</v>
      </c>
      <c r="K36" s="3" t="s">
        <v>0</v>
      </c>
      <c r="L36" s="3" t="s">
        <v>0</v>
      </c>
      <c r="M36" s="3" t="s">
        <v>0</v>
      </c>
      <c r="N36" s="3" t="s">
        <v>0</v>
      </c>
      <c r="O36" s="3" t="s">
        <v>74</v>
      </c>
      <c r="P36" s="3" t="s">
        <v>0</v>
      </c>
      <c r="Q36" s="3"/>
    </row>
    <row r="37" spans="1:17" s="2" customFormat="1" ht="31.5" x14ac:dyDescent="0.25">
      <c r="A37" s="3" t="s">
        <v>163</v>
      </c>
      <c r="B37" s="3" t="s">
        <v>152</v>
      </c>
      <c r="C37" s="3" t="s">
        <v>164</v>
      </c>
      <c r="D37" s="6">
        <v>1</v>
      </c>
      <c r="E37" s="6">
        <v>0.3</v>
      </c>
      <c r="F37" s="6" t="s">
        <v>45</v>
      </c>
      <c r="G37" s="6" t="s">
        <v>45</v>
      </c>
      <c r="H37" s="3" t="s">
        <v>165</v>
      </c>
      <c r="I37" s="3" t="s">
        <v>0</v>
      </c>
      <c r="J37" s="3" t="s">
        <v>0</v>
      </c>
      <c r="K37" s="3" t="s">
        <v>0</v>
      </c>
      <c r="L37" s="3" t="s">
        <v>0</v>
      </c>
      <c r="M37" s="3" t="s">
        <v>0</v>
      </c>
      <c r="N37" s="3" t="s">
        <v>0</v>
      </c>
      <c r="O37" s="3" t="s">
        <v>74</v>
      </c>
      <c r="P37" s="3" t="s">
        <v>0</v>
      </c>
      <c r="Q37" s="3"/>
    </row>
    <row r="38" spans="1:17" s="2" customFormat="1" ht="31.5" x14ac:dyDescent="0.25">
      <c r="A38" s="3" t="s">
        <v>166</v>
      </c>
      <c r="B38" s="3" t="s">
        <v>167</v>
      </c>
      <c r="C38" s="3" t="s">
        <v>168</v>
      </c>
      <c r="D38" s="6">
        <v>3</v>
      </c>
      <c r="E38" s="6">
        <v>1</v>
      </c>
      <c r="F38" s="6" t="s">
        <v>45</v>
      </c>
      <c r="G38" s="6" t="s">
        <v>45</v>
      </c>
      <c r="H38" s="3" t="s">
        <v>169</v>
      </c>
      <c r="I38" s="3" t="s">
        <v>0</v>
      </c>
      <c r="J38" s="3" t="s">
        <v>0</v>
      </c>
      <c r="K38" s="3" t="s">
        <v>0</v>
      </c>
      <c r="L38" s="3" t="s">
        <v>0</v>
      </c>
      <c r="M38" s="3" t="s">
        <v>0</v>
      </c>
      <c r="N38" s="3" t="s">
        <v>0</v>
      </c>
      <c r="O38" s="3" t="s">
        <v>74</v>
      </c>
      <c r="P38" s="3" t="s">
        <v>0</v>
      </c>
      <c r="Q38" s="3"/>
    </row>
    <row r="39" spans="1:17" s="2" customFormat="1" ht="31.5" x14ac:dyDescent="0.25">
      <c r="A39" s="3" t="s">
        <v>170</v>
      </c>
      <c r="B39" s="3" t="s">
        <v>167</v>
      </c>
      <c r="C39" s="3" t="s">
        <v>171</v>
      </c>
      <c r="D39" s="6">
        <v>3</v>
      </c>
      <c r="E39" s="6">
        <v>1</v>
      </c>
      <c r="F39" s="6" t="s">
        <v>172</v>
      </c>
      <c r="G39" s="6" t="s">
        <v>172</v>
      </c>
      <c r="H39" s="3" t="s">
        <v>169</v>
      </c>
      <c r="I39" s="3" t="s">
        <v>0</v>
      </c>
      <c r="J39" s="3" t="s">
        <v>0</v>
      </c>
      <c r="K39" s="3" t="s">
        <v>0</v>
      </c>
      <c r="L39" s="3" t="s">
        <v>0</v>
      </c>
      <c r="M39" s="3" t="s">
        <v>0</v>
      </c>
      <c r="N39" s="3" t="s">
        <v>0</v>
      </c>
      <c r="O39" s="3" t="s">
        <v>0</v>
      </c>
      <c r="P39" s="3" t="s">
        <v>74</v>
      </c>
      <c r="Q39" s="3"/>
    </row>
    <row r="40" spans="1:17" s="2" customFormat="1" ht="31.5" x14ac:dyDescent="0.25">
      <c r="A40" s="3" t="s">
        <v>173</v>
      </c>
      <c r="B40" s="3" t="s">
        <v>167</v>
      </c>
      <c r="C40" s="3" t="s">
        <v>174</v>
      </c>
      <c r="D40" s="6">
        <v>4</v>
      </c>
      <c r="E40" s="6">
        <v>1</v>
      </c>
      <c r="F40" s="6" t="s">
        <v>175</v>
      </c>
      <c r="G40" s="6" t="s">
        <v>175</v>
      </c>
      <c r="H40" s="3" t="s">
        <v>176</v>
      </c>
      <c r="I40" s="3" t="s">
        <v>0</v>
      </c>
      <c r="J40" s="3" t="s">
        <v>0</v>
      </c>
      <c r="K40" s="3" t="s">
        <v>0</v>
      </c>
      <c r="L40" s="3" t="s">
        <v>0</v>
      </c>
      <c r="M40" s="3" t="s">
        <v>0</v>
      </c>
      <c r="N40" s="3" t="s">
        <v>0</v>
      </c>
      <c r="O40" s="3" t="s">
        <v>0</v>
      </c>
      <c r="P40" s="3" t="s">
        <v>74</v>
      </c>
      <c r="Q40" s="3"/>
    </row>
    <row r="41" spans="1:17" s="2" customFormat="1" ht="31.5" x14ac:dyDescent="0.25">
      <c r="A41" s="3" t="s">
        <v>177</v>
      </c>
      <c r="B41" s="3" t="s">
        <v>167</v>
      </c>
      <c r="C41" s="3" t="s">
        <v>178</v>
      </c>
      <c r="D41" s="6">
        <v>2</v>
      </c>
      <c r="E41" s="6">
        <v>0.5</v>
      </c>
      <c r="F41" s="6" t="s">
        <v>49</v>
      </c>
      <c r="G41" s="6" t="s">
        <v>49</v>
      </c>
      <c r="H41" s="3" t="s">
        <v>179</v>
      </c>
      <c r="I41" s="3" t="s">
        <v>0</v>
      </c>
      <c r="J41" s="3" t="s">
        <v>0</v>
      </c>
      <c r="K41" s="3" t="s">
        <v>0</v>
      </c>
      <c r="L41" s="3" t="s">
        <v>0</v>
      </c>
      <c r="M41" s="3" t="s">
        <v>0</v>
      </c>
      <c r="N41" s="3" t="s">
        <v>0</v>
      </c>
      <c r="O41" s="3" t="s">
        <v>0</v>
      </c>
      <c r="P41" s="3" t="s">
        <v>74</v>
      </c>
      <c r="Q41" s="3"/>
    </row>
    <row r="42" spans="1:17" s="2" customFormat="1" x14ac:dyDescent="0.25">
      <c r="D42" s="15"/>
      <c r="E42" s="15"/>
      <c r="F42" s="4"/>
      <c r="G42" s="4"/>
    </row>
  </sheetData>
  <pageMargins left="0.7" right="0.7" top="0.75" bottom="0.75" header="0.3" footer="0.3"/>
  <ignoredErrors>
    <ignoredError sqref="A1:P4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G6" sqref="G6"/>
    </sheetView>
  </sheetViews>
  <sheetFormatPr baseColWidth="10" defaultRowHeight="15.75" x14ac:dyDescent="0.25"/>
  <cols>
    <col min="1" max="1" width="24.75" style="2" customWidth="1"/>
    <col min="2" max="2" width="21.75" bestFit="1" customWidth="1"/>
    <col min="3" max="3" width="8.125" bestFit="1" customWidth="1"/>
    <col min="4" max="4" width="18.125" style="2" customWidth="1"/>
    <col min="5" max="5" width="44.375" style="2" customWidth="1"/>
    <col min="6" max="6" width="36.625" style="2" customWidth="1"/>
  </cols>
  <sheetData>
    <row r="1" spans="1:6" ht="30" customHeight="1" x14ac:dyDescent="0.5">
      <c r="A1" s="23" t="s">
        <v>180</v>
      </c>
      <c r="B1" s="23"/>
      <c r="C1" s="23"/>
      <c r="D1" s="23"/>
      <c r="E1" s="23"/>
      <c r="F1" s="23"/>
    </row>
    <row r="2" spans="1:6" ht="6.75" customHeight="1" x14ac:dyDescent="0.25">
      <c r="A2" s="2" t="s">
        <v>0</v>
      </c>
    </row>
    <row r="3" spans="1:6" s="17" customFormat="1" ht="31.5" x14ac:dyDescent="0.25">
      <c r="A3" s="7" t="s">
        <v>8</v>
      </c>
      <c r="B3" s="21" t="s">
        <v>181</v>
      </c>
      <c r="C3" s="21" t="s">
        <v>182</v>
      </c>
      <c r="D3" s="7" t="s">
        <v>183</v>
      </c>
      <c r="E3" s="7" t="s">
        <v>184</v>
      </c>
      <c r="F3" s="7" t="s">
        <v>185</v>
      </c>
    </row>
    <row r="4" spans="1:6" ht="47.25" x14ac:dyDescent="0.25">
      <c r="A4" s="9" t="s">
        <v>186</v>
      </c>
      <c r="B4" s="12" t="s">
        <v>187</v>
      </c>
      <c r="C4" s="12" t="s">
        <v>188</v>
      </c>
      <c r="D4" s="6" t="s">
        <v>189</v>
      </c>
      <c r="E4" s="3" t="s">
        <v>190</v>
      </c>
      <c r="F4" s="3" t="s">
        <v>191</v>
      </c>
    </row>
    <row r="5" spans="1:6" ht="47.25" x14ac:dyDescent="0.25">
      <c r="A5" s="9" t="s">
        <v>192</v>
      </c>
      <c r="B5" s="12" t="s">
        <v>193</v>
      </c>
      <c r="C5" s="12" t="s">
        <v>194</v>
      </c>
      <c r="D5" s="6" t="s">
        <v>195</v>
      </c>
      <c r="E5" s="3" t="s">
        <v>196</v>
      </c>
      <c r="F5" s="3" t="s">
        <v>197</v>
      </c>
    </row>
    <row r="6" spans="1:6" ht="47.25" x14ac:dyDescent="0.25">
      <c r="A6" s="9" t="s">
        <v>198</v>
      </c>
      <c r="B6" s="12" t="s">
        <v>199</v>
      </c>
      <c r="C6" s="12" t="s">
        <v>200</v>
      </c>
      <c r="D6" s="6" t="s">
        <v>201</v>
      </c>
      <c r="E6" s="3" t="s">
        <v>202</v>
      </c>
      <c r="F6" s="3" t="s">
        <v>203</v>
      </c>
    </row>
    <row r="7" spans="1:6" ht="47.25" x14ac:dyDescent="0.25">
      <c r="A7" s="9" t="s">
        <v>204</v>
      </c>
      <c r="B7" s="12" t="s">
        <v>205</v>
      </c>
      <c r="C7" s="12" t="s">
        <v>206</v>
      </c>
      <c r="D7" s="6" t="s">
        <v>207</v>
      </c>
      <c r="E7" s="3" t="s">
        <v>208</v>
      </c>
      <c r="F7" s="3" t="s">
        <v>209</v>
      </c>
    </row>
    <row r="8" spans="1:6" ht="47.25" x14ac:dyDescent="0.25">
      <c r="A8" s="9" t="s">
        <v>210</v>
      </c>
      <c r="B8" s="12" t="s">
        <v>211</v>
      </c>
      <c r="C8" s="12" t="s">
        <v>212</v>
      </c>
      <c r="D8" s="6" t="s">
        <v>213</v>
      </c>
      <c r="E8" s="3" t="s">
        <v>214</v>
      </c>
      <c r="F8" s="3" t="s">
        <v>215</v>
      </c>
    </row>
  </sheetData>
  <mergeCells count="1">
    <mergeCell ref="A1:F1"/>
  </mergeCells>
  <pageMargins left="0.7" right="0.7" top="0.75" bottom="0.75" header="0.3" footer="0.3"/>
  <ignoredErrors>
    <ignoredError sqref="A2:F8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Macro Actividades</vt:lpstr>
      <vt:lpstr>Diagrama Gantt Acelerado</vt:lpstr>
      <vt:lpstr>Plan de Liberación Acelerado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2026-08-14T05:57:18Z</dcterms:created>
  <dcterms:modified xsi:type="dcterms:W3CDTF">2026-08-22T02:02:21Z</dcterms:modified>
</cp:coreProperties>
</file>